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madeleine/Desktop/"/>
    </mc:Choice>
  </mc:AlternateContent>
  <xr:revisionPtr revIDLastSave="0" documentId="13_ncr:1_{0684CD47-04F7-BD45-9195-F896DAA78FBC}" xr6:coauthVersionLast="47" xr6:coauthVersionMax="47" xr10:uidLastSave="{00000000-0000-0000-0000-000000000000}"/>
  <bookViews>
    <workbookView xWindow="0" yWindow="0" windowWidth="28800" windowHeight="18000" xr2:uid="{3D137D3B-3541-2C47-884E-25C38CBB5DD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1" i="1" l="1"/>
  <c r="J20" i="1"/>
  <c r="J15" i="1"/>
  <c r="J14" i="1"/>
  <c r="J8" i="1"/>
  <c r="J7" i="1"/>
  <c r="I21" i="1"/>
  <c r="I20" i="1"/>
  <c r="I15" i="1"/>
  <c r="I14" i="1"/>
  <c r="I8" i="1"/>
  <c r="I7" i="1"/>
</calcChain>
</file>

<file path=xl/sharedStrings.xml><?xml version="1.0" encoding="utf-8"?>
<sst xmlns="http://schemas.openxmlformats.org/spreadsheetml/2006/main" count="40" uniqueCount="20">
  <si>
    <t>WEA</t>
  </si>
  <si>
    <t>**URGENT: FLASH FLOOD WARNING issued by the Wilmington National Weather Service Office** **This is an Emergency Alert System activation** To all residents of Manteo, North Carolina and surrounding areas, this message is for YOU. You are currently at grave risk due to rising water levels of impending FLASH FLOODS. **EXTREME RAINFALL:** Up to 26 inches of rain have already fallen throughout Hurricane Florence's landfall, and we're expecting ANOTHER 3 to 6 inches to drench the city. Rainfall is occurring at approximately 1 to 2 inches an hour. **TIME:** It's now 1:24 PM on Sunday, September 16th, 2018. **DANGER:** This rapid accumulation of rain is resulting in DANGEROUS FLOODWATERS. This is an extremely perilous situation. Fleeing water can reach high levels rapidly and pose an immediate risk to your life and property. **LOCATION:** This warning includes areas in and near Wilmington, North Carolina, and major cities and landmarks at risk from this storm. **EXPIRY:** Please note, this FLASH FLOOD WARNING will expire later today at 9:30 PM. **URGENT ACTIONS NEEDED:** 1. If you can safely move to higher ground, DO SO IMMEDIATELY. 2. DO NOT attempt to drive or walk through FLOODED AREAS. 3. STAY AWAY from streams, rivers, and other areas prone to flooding. 4. STAY INFORMED about the latest weather updates. Remember, your safety is IMPORTANT. Act NOW to protect yourself and your loved ones. Stay Safe, Manteo!</t>
  </si>
  <si>
    <t>FF</t>
  </si>
  <si>
    <t>EMERGENCY ALERT: Wilmington, NC Emergency Management dept warns - Dangerous flash flood in Manteo! Another 3 to 6 inches of rain expected. High flood risk. Protect lives - evacuate low areas. Act by 7PM, complete by 9PM. Threat subsides 9:30PM. YOUR ACTION SAVES LIVES PLEASE OBEY.</t>
  </si>
  <si>
    <t>Original- 10</t>
  </si>
  <si>
    <t>Multi-Agent- 10</t>
  </si>
  <si>
    <t>Labeling- 10</t>
  </si>
  <si>
    <t>Agent 1</t>
  </si>
  <si>
    <t>Agent 2</t>
  </si>
  <si>
    <t>Agent 4</t>
  </si>
  <si>
    <t>Agent 6</t>
  </si>
  <si>
    <t>Agent 10</t>
  </si>
  <si>
    <t>Agent 13</t>
  </si>
  <si>
    <t>Highest variance- base multi</t>
  </si>
  <si>
    <t>Highest recorded average across agents- base multi</t>
  </si>
  <si>
    <t>Lowest recorded average across agents- label multi</t>
  </si>
  <si>
    <t>Future: count 404 error rates</t>
  </si>
  <si>
    <t xml:space="preserve">Lowest variance- original </t>
  </si>
  <si>
    <t xml:space="preserve">10 runs each </t>
  </si>
  <si>
    <t>Can split into how responding to each who, what, etc. category for each eval agent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</si>
</sst>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6">
    <fill>
      <patternFill patternType="none"/>
    </fill>
    <fill>
      <patternFill patternType="gray125"/>
    </fill>
    <fill>
      <patternFill patternType="solid">
        <fgColor theme="2" tint="-9.9978637043366805E-2"/>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tint="0.59999389629810485"/>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2" borderId="0" xfId="0" applyFill="1"/>
    <xf numFmtId="0" fontId="0" fillId="2" borderId="0" xfId="0" applyFill="1" applyAlignment="1">
      <alignment wrapText="1"/>
    </xf>
    <xf numFmtId="0" fontId="0" fillId="3" borderId="0" xfId="0" applyFill="1"/>
    <xf numFmtId="0" fontId="0" fillId="4" borderId="0" xfId="0" applyFill="1"/>
    <xf numFmtId="0" fontId="0" fillId="5"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11881-F454-0F46-A1EE-8754B9B6FE44}">
  <dimension ref="A5:N21"/>
  <sheetViews>
    <sheetView tabSelected="1" topLeftCell="B7" workbookViewId="0">
      <selection activeCell="L14" sqref="L14"/>
    </sheetView>
  </sheetViews>
  <sheetFormatPr baseColWidth="10" defaultRowHeight="16" x14ac:dyDescent="0.2"/>
  <cols>
    <col min="2" max="2" width="88.5" style="1" customWidth="1"/>
    <col min="3" max="3" width="13.6640625" customWidth="1"/>
    <col min="4" max="4" width="14.33203125" customWidth="1"/>
    <col min="5" max="5" width="13.83203125" customWidth="1"/>
  </cols>
  <sheetData>
    <row r="5" spans="1:14" x14ac:dyDescent="0.2">
      <c r="A5" t="s">
        <v>4</v>
      </c>
    </row>
    <row r="6" spans="1:14" x14ac:dyDescent="0.2">
      <c r="A6" s="2"/>
      <c r="B6" s="3"/>
      <c r="C6" s="2" t="s">
        <v>7</v>
      </c>
      <c r="D6" s="2" t="s">
        <v>8</v>
      </c>
      <c r="E6" s="2" t="s">
        <v>9</v>
      </c>
      <c r="F6" s="2" t="s">
        <v>10</v>
      </c>
      <c r="G6" s="2" t="s">
        <v>11</v>
      </c>
      <c r="H6" s="2" t="s">
        <v>12</v>
      </c>
    </row>
    <row r="7" spans="1:14" ht="209" customHeight="1" x14ac:dyDescent="0.2">
      <c r="A7" s="2" t="s">
        <v>2</v>
      </c>
      <c r="B7" s="3" t="s">
        <v>1</v>
      </c>
      <c r="C7">
        <v>1</v>
      </c>
      <c r="D7">
        <v>1</v>
      </c>
      <c r="E7">
        <v>1</v>
      </c>
      <c r="F7">
        <v>1</v>
      </c>
      <c r="G7">
        <v>1</v>
      </c>
      <c r="H7">
        <v>1</v>
      </c>
      <c r="I7">
        <f>STDEV(C7:H7)</f>
        <v>0</v>
      </c>
      <c r="J7">
        <f>AVERAGE(C7:H7)</f>
        <v>1</v>
      </c>
    </row>
    <row r="8" spans="1:14" ht="53" customHeight="1" x14ac:dyDescent="0.2">
      <c r="A8" s="2" t="s">
        <v>0</v>
      </c>
      <c r="B8" s="3" t="s">
        <v>3</v>
      </c>
      <c r="C8">
        <v>5.0999999999999996</v>
      </c>
      <c r="D8">
        <v>4.7</v>
      </c>
      <c r="E8">
        <v>5</v>
      </c>
      <c r="F8">
        <v>4.3</v>
      </c>
      <c r="G8">
        <v>4.4444444444444402</v>
      </c>
      <c r="H8">
        <v>4.7</v>
      </c>
      <c r="I8">
        <f>STDEV(C8:H8)</f>
        <v>0.30821402429750494</v>
      </c>
      <c r="J8">
        <f>AVERAGE(C8:H8)</f>
        <v>4.7074074074074064</v>
      </c>
    </row>
    <row r="9" spans="1:14" x14ac:dyDescent="0.2">
      <c r="N9" t="s">
        <v>18</v>
      </c>
    </row>
    <row r="10" spans="1:14" x14ac:dyDescent="0.2">
      <c r="N10" t="s">
        <v>17</v>
      </c>
    </row>
    <row r="11" spans="1:14" x14ac:dyDescent="0.2">
      <c r="N11" t="s">
        <v>13</v>
      </c>
    </row>
    <row r="12" spans="1:14" x14ac:dyDescent="0.2">
      <c r="A12" t="s">
        <v>5</v>
      </c>
      <c r="N12" t="s">
        <v>14</v>
      </c>
    </row>
    <row r="13" spans="1:14" x14ac:dyDescent="0.2">
      <c r="A13" s="2"/>
      <c r="B13" s="3"/>
      <c r="C13" s="2" t="s">
        <v>7</v>
      </c>
      <c r="D13" s="2" t="s">
        <v>8</v>
      </c>
      <c r="E13" s="2" t="s">
        <v>9</v>
      </c>
      <c r="F13" s="2" t="s">
        <v>10</v>
      </c>
      <c r="G13" s="2" t="s">
        <v>11</v>
      </c>
      <c r="H13" s="2" t="s">
        <v>12</v>
      </c>
      <c r="N13" t="s">
        <v>15</v>
      </c>
    </row>
    <row r="14" spans="1:14" ht="229" customHeight="1" x14ac:dyDescent="0.2">
      <c r="A14" s="2" t="s">
        <v>2</v>
      </c>
      <c r="B14" s="3" t="s">
        <v>1</v>
      </c>
      <c r="C14">
        <v>6</v>
      </c>
      <c r="D14">
        <v>5.5</v>
      </c>
      <c r="E14">
        <v>5.5</v>
      </c>
      <c r="F14">
        <v>5.9</v>
      </c>
      <c r="G14">
        <v>2.2999999999999998</v>
      </c>
      <c r="H14">
        <v>5.4</v>
      </c>
      <c r="I14" s="4">
        <f>STDEV(C14:H14)</f>
        <v>1.3928388277184089</v>
      </c>
      <c r="J14">
        <f>AVERAGE(C14:H14)</f>
        <v>5.1000000000000005</v>
      </c>
    </row>
    <row r="15" spans="1:14" ht="69" customHeight="1" x14ac:dyDescent="0.2">
      <c r="A15" s="2" t="s">
        <v>0</v>
      </c>
      <c r="B15" s="3" t="s">
        <v>3</v>
      </c>
      <c r="C15">
        <v>5.6</v>
      </c>
      <c r="D15">
        <v>5.3</v>
      </c>
      <c r="E15">
        <v>5.6</v>
      </c>
      <c r="F15">
        <v>5.7</v>
      </c>
      <c r="G15">
        <v>5.9</v>
      </c>
      <c r="H15">
        <v>5.8</v>
      </c>
      <c r="I15">
        <f>STDEV(C15:H15)</f>
        <v>0.20736441353327736</v>
      </c>
      <c r="J15" s="5">
        <f>AVERAGE(C15:H15)</f>
        <v>5.6499999999999995</v>
      </c>
    </row>
    <row r="16" spans="1:14" x14ac:dyDescent="0.2">
      <c r="N16" t="s">
        <v>16</v>
      </c>
    </row>
    <row r="17" spans="1:14" x14ac:dyDescent="0.2">
      <c r="N17" t="s">
        <v>19</v>
      </c>
    </row>
    <row r="18" spans="1:14" x14ac:dyDescent="0.2">
      <c r="A18" t="s">
        <v>6</v>
      </c>
    </row>
    <row r="19" spans="1:14" x14ac:dyDescent="0.2">
      <c r="A19" s="2"/>
      <c r="B19" s="3"/>
      <c r="C19" s="2" t="s">
        <v>7</v>
      </c>
      <c r="D19" s="2" t="s">
        <v>8</v>
      </c>
      <c r="E19" s="2" t="s">
        <v>9</v>
      </c>
      <c r="F19" s="2" t="s">
        <v>10</v>
      </c>
      <c r="G19" s="2" t="s">
        <v>11</v>
      </c>
      <c r="H19" s="2" t="s">
        <v>12</v>
      </c>
    </row>
    <row r="20" spans="1:14" ht="255" x14ac:dyDescent="0.2">
      <c r="A20" s="2" t="s">
        <v>2</v>
      </c>
      <c r="B20" s="3" t="s">
        <v>1</v>
      </c>
      <c r="C20">
        <v>0</v>
      </c>
      <c r="D20">
        <v>0</v>
      </c>
      <c r="E20">
        <v>0</v>
      </c>
      <c r="F20">
        <v>0</v>
      </c>
      <c r="G20">
        <v>0.1</v>
      </c>
      <c r="H20">
        <v>0</v>
      </c>
      <c r="I20">
        <f>STDEV(C20:H20)</f>
        <v>4.0824829046386304E-2</v>
      </c>
      <c r="J20" s="6">
        <f>AVERAGE(C20:H20)</f>
        <v>1.6666666666666666E-2</v>
      </c>
    </row>
    <row r="21" spans="1:14" ht="51" x14ac:dyDescent="0.2">
      <c r="A21" s="2" t="s">
        <v>0</v>
      </c>
      <c r="B21" s="3" t="s">
        <v>3</v>
      </c>
      <c r="C21">
        <v>2.2999999999999998</v>
      </c>
      <c r="D21">
        <v>1.9</v>
      </c>
      <c r="E21">
        <v>1.8</v>
      </c>
      <c r="F21">
        <v>1.7</v>
      </c>
      <c r="G21">
        <v>1.3</v>
      </c>
      <c r="H21">
        <v>1.5</v>
      </c>
      <c r="I21">
        <f>STDEV(C21:H21)</f>
        <v>0.34496376621320646</v>
      </c>
      <c r="J21">
        <f>AVERAGE(C21:H21)</f>
        <v>1.75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 Gagné</dc:creator>
  <cp:lastModifiedBy>Mac Gagné</cp:lastModifiedBy>
  <dcterms:created xsi:type="dcterms:W3CDTF">2026-04-02T16:10:06Z</dcterms:created>
  <dcterms:modified xsi:type="dcterms:W3CDTF">2026-04-02T23:28:04Z</dcterms:modified>
</cp:coreProperties>
</file>